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Patien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1" workbookViewId="0">
      <selection activeCell="A1" sqref="A1"/>
    </sheetView>
  </sheetViews>
  <sheetFormatPr baseColWidth="8" defaultRowHeight="15"/>
  <cols>
    <col width="32" customWidth="1" min="2" max="2"/>
    <col width="15" customWidth="1" min="3" max="3"/>
    <col width="25" customWidth="1" min="4" max="4"/>
  </cols>
  <sheetData>
    <row r="2">
      <c r="B2" s="1" t="inlineStr">
        <is>
          <t>Hospital Patient Outcomes Analytics KPI Summary</t>
        </is>
      </c>
    </row>
    <row r="4">
      <c r="B4" s="2" t="inlineStr">
        <is>
          <t>Metric Description</t>
        </is>
      </c>
      <c r="C4" s="2" t="inlineStr">
        <is>
          <t>Value</t>
        </is>
      </c>
      <c r="D4" s="2" t="inlineStr">
        <is>
          <t>Formula Reference</t>
        </is>
      </c>
    </row>
    <row r="5">
      <c r="B5" s="3" t="inlineStr">
        <is>
          <t>Total Patients Enrolled</t>
        </is>
      </c>
      <c r="C5" s="4">
        <f>COUNTA('Patient Data'!A2:A21)</f>
        <v/>
      </c>
      <c r="D5" s="3" t="inlineStr">
        <is>
          <t>Count of Patient IDs</t>
        </is>
      </c>
    </row>
    <row r="6">
      <c r="B6" s="3" t="inlineStr">
        <is>
          <t>Average Length of Stay (LoS)</t>
        </is>
      </c>
      <c r="C6" s="5">
        <f>AVERAGE('Patient Data'!H2:H21)</f>
        <v/>
      </c>
      <c r="D6" s="3" t="inlineStr">
        <is>
          <t>Arithmetic Mean (Days)</t>
        </is>
      </c>
    </row>
    <row r="7">
      <c r="B7" s="3" t="inlineStr">
        <is>
          <t>Average Patient Satisfaction</t>
        </is>
      </c>
      <c r="C7" s="5">
        <f>AVERAGE('Patient Data'!K2:K21)</f>
        <v/>
      </c>
      <c r="D7" s="3" t="inlineStr">
        <is>
          <t>Scale of 1-10</t>
        </is>
      </c>
    </row>
    <row r="8">
      <c r="B8" s="3" t="inlineStr">
        <is>
          <t>Hospital Readmission Rate</t>
        </is>
      </c>
      <c r="C8" s="6">
        <f>COUNTIF('Patient Data'!J2:J21,"Yes")/COUNTA('Patient Data'!A2:A21)</f>
        <v/>
      </c>
      <c r="D8" s="3" t="inlineStr">
        <is>
          <t>Target threshold &lt; 15%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17" customWidth="1" min="5" max="5"/>
    <col width="24" customWidth="1" min="6" max="6"/>
    <col width="17" customWidth="1" min="7" max="7"/>
    <col width="17" customWidth="1" min="8" max="8"/>
    <col width="12" customWidth="1" min="9" max="9"/>
    <col width="21" customWidth="1" min="10" max="10"/>
    <col width="21" customWidth="1" min="11" max="11"/>
    <col width="17" customWidth="1" min="12" max="12"/>
    <col width="19" customWidth="1" min="13" max="13"/>
    <col width="47" customWidth="1" min="14" max="14"/>
  </cols>
  <sheetData>
    <row r="1">
      <c r="A1" s="7" t="inlineStr">
        <is>
          <t>Patient_ID</t>
        </is>
      </c>
      <c r="B1" s="7" t="inlineStr">
        <is>
          <t>Age</t>
        </is>
      </c>
      <c r="C1" s="7" t="inlineStr">
        <is>
          <t>Gender</t>
        </is>
      </c>
      <c r="D1" s="7" t="inlineStr">
        <is>
          <t>Department</t>
        </is>
      </c>
      <c r="E1" s="7" t="inlineStr">
        <is>
          <t>Admission_Date</t>
        </is>
      </c>
      <c r="F1" s="7" t="inlineStr">
        <is>
          <t>Diagnosis</t>
        </is>
      </c>
      <c r="G1" s="7" t="inlineStr">
        <is>
          <t>Treatment_Type</t>
        </is>
      </c>
      <c r="H1" s="7" t="inlineStr">
        <is>
          <t>Length_of_Stay</t>
        </is>
      </c>
      <c r="I1" s="7" t="inlineStr">
        <is>
          <t>Outcome</t>
        </is>
      </c>
      <c r="J1" s="7" t="inlineStr">
        <is>
          <t>Readmission_Status</t>
        </is>
      </c>
      <c r="K1" s="7" t="inlineStr">
        <is>
          <t>Satisfaction_Score</t>
        </is>
      </c>
      <c r="L1" s="7" t="inlineStr">
        <is>
          <t>Insurance_Type</t>
        </is>
      </c>
      <c r="M1" s="7" t="inlineStr">
        <is>
          <t>Emergency_Status</t>
        </is>
      </c>
      <c r="N1" s="7" t="inlineStr">
        <is>
          <t>High_Risk_Status</t>
        </is>
      </c>
    </row>
    <row r="2">
      <c r="A2" s="8" t="inlineStr">
        <is>
          <t>P0001</t>
        </is>
      </c>
      <c r="B2" s="9" t="n">
        <v>54</v>
      </c>
      <c r="C2" s="10" t="inlineStr">
        <is>
          <t>Male</t>
        </is>
      </c>
      <c r="D2" s="10" t="inlineStr">
        <is>
          <t>Cardiology</t>
        </is>
      </c>
      <c r="E2" s="8" t="inlineStr">
        <is>
          <t>2025-01-12</t>
        </is>
      </c>
      <c r="F2" s="10" t="inlineStr">
        <is>
          <t>Hypertension</t>
        </is>
      </c>
      <c r="G2" s="10" t="inlineStr">
        <is>
          <t>Medication</t>
        </is>
      </c>
      <c r="H2" s="9" t="n">
        <v>4</v>
      </c>
      <c r="I2" s="10" t="inlineStr">
        <is>
          <t>Recovered</t>
        </is>
      </c>
      <c r="J2" s="8" t="inlineStr">
        <is>
          <t>No</t>
        </is>
      </c>
      <c r="K2" s="9" t="n">
        <v>8</v>
      </c>
      <c r="L2" s="10" t="inlineStr">
        <is>
          <t>Private</t>
        </is>
      </c>
      <c r="M2" s="8" t="inlineStr">
        <is>
          <t>No</t>
        </is>
      </c>
      <c r="N2" s="8">
        <f>IF(AND(B2&gt;65,H2&gt;7),"High Risk","Routine")</f>
        <v/>
      </c>
    </row>
    <row r="3">
      <c r="A3" s="11" t="inlineStr">
        <is>
          <t>P0002</t>
        </is>
      </c>
      <c r="B3" s="12" t="n">
        <v>67</v>
      </c>
      <c r="C3" s="3" t="inlineStr">
        <is>
          <t>Female</t>
        </is>
      </c>
      <c r="D3" s="3" t="inlineStr">
        <is>
          <t>Emergency</t>
        </is>
      </c>
      <c r="E3" s="11" t="inlineStr">
        <is>
          <t>2025-01-15</t>
        </is>
      </c>
      <c r="F3" s="3" t="inlineStr">
        <is>
          <t>Stroke</t>
        </is>
      </c>
      <c r="G3" s="3" t="inlineStr">
        <is>
          <t>Rehabilitation</t>
        </is>
      </c>
      <c r="H3" s="12" t="n">
        <v>12</v>
      </c>
      <c r="I3" s="3" t="inlineStr">
        <is>
          <t>Follow-up</t>
        </is>
      </c>
      <c r="J3" s="11" t="inlineStr">
        <is>
          <t>Yes</t>
        </is>
      </c>
      <c r="K3" s="12" t="n">
        <v>6</v>
      </c>
      <c r="L3" s="3" t="inlineStr">
        <is>
          <t>Public</t>
        </is>
      </c>
      <c r="M3" s="11" t="inlineStr">
        <is>
          <t>Yes</t>
        </is>
      </c>
      <c r="N3" s="11">
        <f>IF(AND(B3&gt;65,H3&gt;7),"High Risk","Routine")</f>
        <v/>
      </c>
    </row>
    <row r="4">
      <c r="A4" s="8" t="inlineStr">
        <is>
          <t>P0003</t>
        </is>
      </c>
      <c r="B4" s="9" t="n">
        <v>42</v>
      </c>
      <c r="C4" s="10" t="inlineStr">
        <is>
          <t>Female</t>
        </is>
      </c>
      <c r="D4" s="10" t="inlineStr">
        <is>
          <t>Orthopedics</t>
        </is>
      </c>
      <c r="E4" s="8" t="inlineStr">
        <is>
          <t>2025-01-18</t>
        </is>
      </c>
      <c r="F4" s="10" t="inlineStr">
        <is>
          <t>Fracture</t>
        </is>
      </c>
      <c r="G4" s="10" t="inlineStr">
        <is>
          <t>Surgery</t>
        </is>
      </c>
      <c r="H4" s="9" t="n">
        <v>7</v>
      </c>
      <c r="I4" s="10" t="inlineStr">
        <is>
          <t>Recovered</t>
        </is>
      </c>
      <c r="J4" s="8" t="inlineStr">
        <is>
          <t>No</t>
        </is>
      </c>
      <c r="K4" s="9" t="n">
        <v>9</v>
      </c>
      <c r="L4" s="10" t="inlineStr">
        <is>
          <t>Private</t>
        </is>
      </c>
      <c r="M4" s="8" t="inlineStr">
        <is>
          <t>No</t>
        </is>
      </c>
      <c r="N4" s="8">
        <f>IF(AND(B4&gt;65,H4&gt;7),"High Risk","Routine")</f>
        <v/>
      </c>
    </row>
    <row r="5">
      <c r="A5" s="11" t="inlineStr">
        <is>
          <t>P0004</t>
        </is>
      </c>
      <c r="B5" s="12" t="n">
        <v>78</v>
      </c>
      <c r="C5" s="3" t="inlineStr">
        <is>
          <t>Male</t>
        </is>
      </c>
      <c r="D5" s="3" t="inlineStr">
        <is>
          <t>Neurology</t>
        </is>
      </c>
      <c r="E5" s="11" t="inlineStr">
        <is>
          <t>2025-01-20</t>
        </is>
      </c>
      <c r="F5" s="3" t="inlineStr">
        <is>
          <t>Dementia</t>
        </is>
      </c>
      <c r="G5" s="3" t="inlineStr">
        <is>
          <t>Therapy</t>
        </is>
      </c>
      <c r="H5" s="12" t="n">
        <v>15</v>
      </c>
      <c r="I5" s="3" t="inlineStr">
        <is>
          <t>Stable</t>
        </is>
      </c>
      <c r="J5" s="11" t="inlineStr">
        <is>
          <t>No</t>
        </is>
      </c>
      <c r="K5" s="12" t="n">
        <v>7</v>
      </c>
      <c r="L5" s="3" t="inlineStr">
        <is>
          <t>Public</t>
        </is>
      </c>
      <c r="M5" s="11" t="inlineStr">
        <is>
          <t>No</t>
        </is>
      </c>
      <c r="N5" s="11">
        <f>IF(AND(B5&gt;65,H5&gt;7),"High Risk","Routine")</f>
        <v/>
      </c>
    </row>
    <row r="6">
      <c r="A6" s="8" t="inlineStr">
        <is>
          <t>P0005</t>
        </is>
      </c>
      <c r="B6" s="9" t="n">
        <v>33</v>
      </c>
      <c r="C6" s="10" t="inlineStr">
        <is>
          <t>Female</t>
        </is>
      </c>
      <c r="D6" s="10" t="inlineStr">
        <is>
          <t>General</t>
        </is>
      </c>
      <c r="E6" s="8" t="inlineStr">
        <is>
          <t>2025-01-22</t>
        </is>
      </c>
      <c r="F6" s="10" t="inlineStr">
        <is>
          <t>Infection</t>
        </is>
      </c>
      <c r="G6" s="10" t="inlineStr">
        <is>
          <t>Antibiotics</t>
        </is>
      </c>
      <c r="H6" s="9" t="n">
        <v>3</v>
      </c>
      <c r="I6" s="10" t="inlineStr">
        <is>
          <t>Recovered</t>
        </is>
      </c>
      <c r="J6" s="8" t="inlineStr">
        <is>
          <t>No</t>
        </is>
      </c>
      <c r="K6" s="9" t="n">
        <v>9</v>
      </c>
      <c r="L6" s="10" t="inlineStr">
        <is>
          <t>Public</t>
        </is>
      </c>
      <c r="M6" s="8" t="inlineStr">
        <is>
          <t>No</t>
        </is>
      </c>
      <c r="N6" s="8">
        <f>IF(AND(B6&gt;65,H6&gt;7),"High Risk","Routine")</f>
        <v/>
      </c>
    </row>
    <row r="7">
      <c r="A7" s="11" t="inlineStr">
        <is>
          <t>P0006</t>
        </is>
      </c>
      <c r="B7" s="12" t="n">
        <v>59</v>
      </c>
      <c r="C7" s="3" t="inlineStr">
        <is>
          <t>Male</t>
        </is>
      </c>
      <c r="D7" s="3" t="inlineStr">
        <is>
          <t>Cardiology</t>
        </is>
      </c>
      <c r="E7" s="11" t="inlineStr">
        <is>
          <t>2025-01-25</t>
        </is>
      </c>
      <c r="F7" s="3" t="inlineStr">
        <is>
          <t>Arrhythmia</t>
        </is>
      </c>
      <c r="G7" s="3" t="inlineStr">
        <is>
          <t>Medication</t>
        </is>
      </c>
      <c r="H7" s="12" t="n">
        <v>5</v>
      </c>
      <c r="I7" s="3" t="inlineStr">
        <is>
          <t>Recovered</t>
        </is>
      </c>
      <c r="J7" s="11" t="inlineStr">
        <is>
          <t>No</t>
        </is>
      </c>
      <c r="K7" s="12" t="n">
        <v>8</v>
      </c>
      <c r="L7" s="3" t="inlineStr">
        <is>
          <t>Private</t>
        </is>
      </c>
      <c r="M7" s="11" t="inlineStr">
        <is>
          <t>No</t>
        </is>
      </c>
      <c r="N7" s="11">
        <f>IF(AND(B7&gt;65,H7&gt;7),"High Risk","Routine")</f>
        <v/>
      </c>
    </row>
    <row r="8">
      <c r="A8" s="8" t="inlineStr">
        <is>
          <t>P0007</t>
        </is>
      </c>
      <c r="B8" s="9" t="n">
        <v>72</v>
      </c>
      <c r="C8" s="10" t="inlineStr">
        <is>
          <t>Female</t>
        </is>
      </c>
      <c r="D8" s="10" t="inlineStr">
        <is>
          <t>Emergency</t>
        </is>
      </c>
      <c r="E8" s="8" t="inlineStr">
        <is>
          <t>2025-02-01</t>
        </is>
      </c>
      <c r="F8" s="10" t="inlineStr">
        <is>
          <t>Myocardial Infarction</t>
        </is>
      </c>
      <c r="G8" s="10" t="inlineStr">
        <is>
          <t>Surgery</t>
        </is>
      </c>
      <c r="H8" s="9" t="n">
        <v>10</v>
      </c>
      <c r="I8" s="10" t="inlineStr">
        <is>
          <t>Recovered</t>
        </is>
      </c>
      <c r="J8" s="8" t="inlineStr">
        <is>
          <t>Yes</t>
        </is>
      </c>
      <c r="K8" s="9" t="n">
        <v>5</v>
      </c>
      <c r="L8" s="10" t="inlineStr">
        <is>
          <t>Public</t>
        </is>
      </c>
      <c r="M8" s="8" t="inlineStr">
        <is>
          <t>Yes</t>
        </is>
      </c>
      <c r="N8" s="8">
        <f>IF(AND(B8&gt;65,H8&gt;7),"High Risk","Routine")</f>
        <v/>
      </c>
    </row>
    <row r="9">
      <c r="A9" s="11" t="inlineStr">
        <is>
          <t>P0008</t>
        </is>
      </c>
      <c r="B9" s="12" t="n">
        <v>45</v>
      </c>
      <c r="C9" s="3" t="inlineStr">
        <is>
          <t>Male</t>
        </is>
      </c>
      <c r="D9" s="3" t="inlineStr">
        <is>
          <t>Orthopedics</t>
        </is>
      </c>
      <c r="E9" s="11" t="inlineStr">
        <is>
          <t>2025-02-03</t>
        </is>
      </c>
      <c r="F9" s="3" t="inlineStr">
        <is>
          <t>Ligament Tear</t>
        </is>
      </c>
      <c r="G9" s="3" t="inlineStr">
        <is>
          <t>Physiotherapy</t>
        </is>
      </c>
      <c r="H9" s="12" t="n">
        <v>6</v>
      </c>
      <c r="I9" s="3" t="inlineStr">
        <is>
          <t>Recovered</t>
        </is>
      </c>
      <c r="J9" s="11" t="inlineStr">
        <is>
          <t>No</t>
        </is>
      </c>
      <c r="K9" s="12" t="n">
        <v>8</v>
      </c>
      <c r="L9" s="3" t="inlineStr">
        <is>
          <t>Private</t>
        </is>
      </c>
      <c r="M9" s="11" t="inlineStr">
        <is>
          <t>No</t>
        </is>
      </c>
      <c r="N9" s="11">
        <f>IF(AND(B9&gt;65,H9&gt;7),"High Risk","Routine")</f>
        <v/>
      </c>
    </row>
    <row r="10">
      <c r="A10" s="8" t="inlineStr">
        <is>
          <t>P0009</t>
        </is>
      </c>
      <c r="B10" s="9" t="n">
        <v>29</v>
      </c>
      <c r="C10" s="10" t="inlineStr">
        <is>
          <t>Female</t>
        </is>
      </c>
      <c r="D10" s="10" t="inlineStr">
        <is>
          <t>General</t>
        </is>
      </c>
      <c r="E10" s="8" t="inlineStr">
        <is>
          <t>2025-02-05</t>
        </is>
      </c>
      <c r="F10" s="10" t="inlineStr">
        <is>
          <t>Gastritis</t>
        </is>
      </c>
      <c r="G10" s="10" t="inlineStr">
        <is>
          <t>Medication</t>
        </is>
      </c>
      <c r="H10" s="9" t="n">
        <v>2</v>
      </c>
      <c r="I10" s="10" t="inlineStr">
        <is>
          <t>Recovered</t>
        </is>
      </c>
      <c r="J10" s="8" t="inlineStr">
        <is>
          <t>No</t>
        </is>
      </c>
      <c r="K10" s="9" t="n">
        <v>10</v>
      </c>
      <c r="L10" s="10" t="inlineStr">
        <is>
          <t>Private</t>
        </is>
      </c>
      <c r="M10" s="8" t="inlineStr">
        <is>
          <t>No</t>
        </is>
      </c>
      <c r="N10" s="8">
        <f>IF(AND(B10&gt;65,H10&gt;7),"High Risk","Routine")</f>
        <v/>
      </c>
    </row>
    <row r="11">
      <c r="A11" s="11" t="inlineStr">
        <is>
          <t>P0010</t>
        </is>
      </c>
      <c r="B11" s="12" t="n">
        <v>81</v>
      </c>
      <c r="C11" s="3" t="inlineStr">
        <is>
          <t>Male</t>
        </is>
      </c>
      <c r="D11" s="3" t="inlineStr">
        <is>
          <t>Neurology</t>
        </is>
      </c>
      <c r="E11" s="11" t="inlineStr">
        <is>
          <t>2025-02-08</t>
        </is>
      </c>
      <c r="F11" s="3" t="inlineStr">
        <is>
          <t>Stroke</t>
        </is>
      </c>
      <c r="G11" s="3" t="inlineStr">
        <is>
          <t>Therapy</t>
        </is>
      </c>
      <c r="H11" s="12" t="n">
        <v>14</v>
      </c>
      <c r="I11" s="3" t="inlineStr">
        <is>
          <t>Stable</t>
        </is>
      </c>
      <c r="J11" s="11" t="inlineStr">
        <is>
          <t>Yes</t>
        </is>
      </c>
      <c r="K11" s="12" t="n">
        <v>4</v>
      </c>
      <c r="L11" s="3" t="inlineStr">
        <is>
          <t>Public</t>
        </is>
      </c>
      <c r="M11" s="11" t="inlineStr">
        <is>
          <t>Yes</t>
        </is>
      </c>
      <c r="N11" s="11">
        <f>IF(AND(B11&gt;65,H11&gt;7),"High Risk","Routine")</f>
        <v/>
      </c>
    </row>
    <row r="12">
      <c r="A12" s="8" t="inlineStr">
        <is>
          <t>P0011</t>
        </is>
      </c>
      <c r="B12" s="9" t="n">
        <v>50</v>
      </c>
      <c r="C12" s="10" t="inlineStr">
        <is>
          <t>Female</t>
        </is>
      </c>
      <c r="D12" s="10" t="inlineStr">
        <is>
          <t>Cardiology</t>
        </is>
      </c>
      <c r="E12" s="8" t="inlineStr">
        <is>
          <t>2025-02-10</t>
        </is>
      </c>
      <c r="F12" s="10" t="inlineStr">
        <is>
          <t>Hypertension</t>
        </is>
      </c>
      <c r="G12" s="10" t="inlineStr">
        <is>
          <t>Medication</t>
        </is>
      </c>
      <c r="H12" s="9" t="n">
        <v>3</v>
      </c>
      <c r="I12" s="10" t="inlineStr">
        <is>
          <t>Recovered</t>
        </is>
      </c>
      <c r="J12" s="8" t="inlineStr">
        <is>
          <t>No</t>
        </is>
      </c>
      <c r="K12" s="9" t="n">
        <v>9</v>
      </c>
      <c r="L12" s="10" t="inlineStr">
        <is>
          <t>Private</t>
        </is>
      </c>
      <c r="M12" s="8" t="inlineStr">
        <is>
          <t>No</t>
        </is>
      </c>
      <c r="N12" s="8">
        <f>IF(AND(B12&gt;65,H12&gt;7),"High Risk","Routine")</f>
        <v/>
      </c>
    </row>
    <row r="13">
      <c r="A13" s="11" t="inlineStr">
        <is>
          <t>P0012</t>
        </is>
      </c>
      <c r="B13" s="12" t="n">
        <v>62</v>
      </c>
      <c r="C13" s="3" t="inlineStr">
        <is>
          <t>Male</t>
        </is>
      </c>
      <c r="D13" s="3" t="inlineStr">
        <is>
          <t>Emergency</t>
        </is>
      </c>
      <c r="E13" s="11" t="inlineStr">
        <is>
          <t>2025-02-12</t>
        </is>
      </c>
      <c r="F13" s="3" t="inlineStr">
        <is>
          <t>Appendicitis</t>
        </is>
      </c>
      <c r="G13" s="3" t="inlineStr">
        <is>
          <t>Surgery</t>
        </is>
      </c>
      <c r="H13" s="12" t="n">
        <v>5</v>
      </c>
      <c r="I13" s="3" t="inlineStr">
        <is>
          <t>Recovered</t>
        </is>
      </c>
      <c r="J13" s="11" t="inlineStr">
        <is>
          <t>No</t>
        </is>
      </c>
      <c r="K13" s="12" t="n">
        <v>7</v>
      </c>
      <c r="L13" s="3" t="inlineStr">
        <is>
          <t>Public</t>
        </is>
      </c>
      <c r="M13" s="11" t="inlineStr">
        <is>
          <t>Yes</t>
        </is>
      </c>
      <c r="N13" s="11">
        <f>IF(AND(B13&gt;65,H13&gt;7),"High Risk","Routine")</f>
        <v/>
      </c>
    </row>
    <row r="14">
      <c r="A14" s="8" t="inlineStr">
        <is>
          <t>P0013</t>
        </is>
      </c>
      <c r="B14" s="9" t="n">
        <v>38</v>
      </c>
      <c r="C14" s="10" t="inlineStr">
        <is>
          <t>Female</t>
        </is>
      </c>
      <c r="D14" s="10" t="inlineStr">
        <is>
          <t>General</t>
        </is>
      </c>
      <c r="E14" s="8" t="inlineStr">
        <is>
          <t>2025-02-15</t>
        </is>
      </c>
      <c r="F14" s="10" t="inlineStr">
        <is>
          <t>Pneumonia</t>
        </is>
      </c>
      <c r="G14" s="10" t="inlineStr">
        <is>
          <t>Antibiotics</t>
        </is>
      </c>
      <c r="H14" s="9" t="n">
        <v>6</v>
      </c>
      <c r="I14" s="10" t="inlineStr">
        <is>
          <t>Recovered</t>
        </is>
      </c>
      <c r="J14" s="8" t="inlineStr">
        <is>
          <t>No</t>
        </is>
      </c>
      <c r="K14" s="9" t="n">
        <v>8</v>
      </c>
      <c r="L14" s="10" t="inlineStr">
        <is>
          <t>Public</t>
        </is>
      </c>
      <c r="M14" s="8" t="inlineStr">
        <is>
          <t>No</t>
        </is>
      </c>
      <c r="N14" s="8">
        <f>IF(AND(B14&gt;65,H14&gt;7),"High Risk","Routine")</f>
        <v/>
      </c>
    </row>
    <row r="15">
      <c r="A15" s="11" t="inlineStr">
        <is>
          <t>P0014</t>
        </is>
      </c>
      <c r="B15" s="12" t="n">
        <v>75</v>
      </c>
      <c r="C15" s="3" t="inlineStr">
        <is>
          <t>Male</t>
        </is>
      </c>
      <c r="D15" s="3" t="inlineStr">
        <is>
          <t>Orthopedics</t>
        </is>
      </c>
      <c r="E15" s="11" t="inlineStr">
        <is>
          <t>2025-02-18</t>
        </is>
      </c>
      <c r="F15" s="3" t="inlineStr">
        <is>
          <t>Arthritis</t>
        </is>
      </c>
      <c r="G15" s="3" t="inlineStr">
        <is>
          <t>Medication</t>
        </is>
      </c>
      <c r="H15" s="12" t="n">
        <v>4</v>
      </c>
      <c r="I15" s="3" t="inlineStr">
        <is>
          <t>Stable</t>
        </is>
      </c>
      <c r="J15" s="11" t="inlineStr">
        <is>
          <t>No</t>
        </is>
      </c>
      <c r="K15" s="12" t="n">
        <v>6</v>
      </c>
      <c r="L15" s="3" t="inlineStr">
        <is>
          <t>Private</t>
        </is>
      </c>
      <c r="M15" s="11" t="inlineStr">
        <is>
          <t>No</t>
        </is>
      </c>
      <c r="N15" s="11">
        <f>IF(AND(B15&gt;65,H15&gt;7),"High Risk","Routine")</f>
        <v/>
      </c>
    </row>
    <row r="16">
      <c r="A16" s="8" t="inlineStr">
        <is>
          <t>P0015</t>
        </is>
      </c>
      <c r="B16" s="9" t="n">
        <v>47</v>
      </c>
      <c r="C16" s="10" t="inlineStr">
        <is>
          <t>Female</t>
        </is>
      </c>
      <c r="D16" s="10" t="inlineStr">
        <is>
          <t>Cardiology</t>
        </is>
      </c>
      <c r="E16" s="8" t="inlineStr">
        <is>
          <t>2025-02-20</t>
        </is>
      </c>
      <c r="F16" s="10" t="inlineStr">
        <is>
          <t>Heart Failure</t>
        </is>
      </c>
      <c r="G16" s="10" t="inlineStr">
        <is>
          <t>Surgery</t>
        </is>
      </c>
      <c r="H16" s="9" t="n">
        <v>11</v>
      </c>
      <c r="I16" s="10" t="inlineStr">
        <is>
          <t>Follow-up</t>
        </is>
      </c>
      <c r="J16" s="8" t="inlineStr">
        <is>
          <t>Yes</t>
        </is>
      </c>
      <c r="K16" s="9" t="n">
        <v>5</v>
      </c>
      <c r="L16" s="10" t="inlineStr">
        <is>
          <t>Public</t>
        </is>
      </c>
      <c r="M16" s="8" t="inlineStr">
        <is>
          <t>Yes</t>
        </is>
      </c>
      <c r="N16" s="8">
        <f>IF(AND(B16&gt;65,H16&gt;7),"High Risk","Routine")</f>
        <v/>
      </c>
    </row>
    <row r="17">
      <c r="A17" s="11" t="inlineStr">
        <is>
          <t>P0016</t>
        </is>
      </c>
      <c r="B17" s="12" t="n">
        <v>55</v>
      </c>
      <c r="C17" s="3" t="inlineStr">
        <is>
          <t>Male</t>
        </is>
      </c>
      <c r="D17" s="3" t="inlineStr">
        <is>
          <t>Neurology</t>
        </is>
      </c>
      <c r="E17" s="11" t="inlineStr">
        <is>
          <t>2025-02-22</t>
        </is>
      </c>
      <c r="F17" s="3" t="inlineStr">
        <is>
          <t>Migraine</t>
        </is>
      </c>
      <c r="G17" s="3" t="inlineStr">
        <is>
          <t>Medication</t>
        </is>
      </c>
      <c r="H17" s="12" t="n">
        <v>2</v>
      </c>
      <c r="I17" s="3" t="inlineStr">
        <is>
          <t>Recovered</t>
        </is>
      </c>
      <c r="J17" s="11" t="inlineStr">
        <is>
          <t>No</t>
        </is>
      </c>
      <c r="K17" s="12" t="n">
        <v>9</v>
      </c>
      <c r="L17" s="3" t="inlineStr">
        <is>
          <t>Private</t>
        </is>
      </c>
      <c r="M17" s="11" t="inlineStr">
        <is>
          <t>No</t>
        </is>
      </c>
      <c r="N17" s="11">
        <f>IF(AND(B17&gt;65,H17&gt;7),"High Risk","Routine")</f>
        <v/>
      </c>
    </row>
    <row r="18">
      <c r="A18" s="8" t="inlineStr">
        <is>
          <t>P0017</t>
        </is>
      </c>
      <c r="B18" s="9" t="n">
        <v>68</v>
      </c>
      <c r="C18" s="10" t="inlineStr">
        <is>
          <t>Female</t>
        </is>
      </c>
      <c r="D18" s="10" t="inlineStr">
        <is>
          <t>General</t>
        </is>
      </c>
      <c r="E18" s="8" t="inlineStr">
        <is>
          <t>2025-02-25</t>
        </is>
      </c>
      <c r="F18" s="10" t="inlineStr">
        <is>
          <t>Diabetes</t>
        </is>
      </c>
      <c r="G18" s="10" t="inlineStr">
        <is>
          <t>Insulin</t>
        </is>
      </c>
      <c r="H18" s="9" t="n">
        <v>5</v>
      </c>
      <c r="I18" s="10" t="inlineStr">
        <is>
          <t>Stable</t>
        </is>
      </c>
      <c r="J18" s="8" t="inlineStr">
        <is>
          <t>No</t>
        </is>
      </c>
      <c r="K18" s="9" t="n">
        <v>7</v>
      </c>
      <c r="L18" s="10" t="inlineStr">
        <is>
          <t>Public</t>
        </is>
      </c>
      <c r="M18" s="8" t="inlineStr">
        <is>
          <t>No</t>
        </is>
      </c>
      <c r="N18" s="8">
        <f>IF(AND(B18&gt;65,H18&gt;7),"High Risk","Routine")</f>
        <v/>
      </c>
    </row>
    <row r="19">
      <c r="A19" s="11" t="inlineStr">
        <is>
          <t>P0018</t>
        </is>
      </c>
      <c r="B19" s="12" t="n">
        <v>40</v>
      </c>
      <c r="C19" s="3" t="inlineStr">
        <is>
          <t>Male</t>
        </is>
      </c>
      <c r="D19" s="3" t="inlineStr">
        <is>
          <t>Orthopedics</t>
        </is>
      </c>
      <c r="E19" s="11" t="inlineStr">
        <is>
          <t>2025-02-28</t>
        </is>
      </c>
      <c r="F19" s="3" t="inlineStr">
        <is>
          <t>Fracture</t>
        </is>
      </c>
      <c r="G19" s="3" t="inlineStr">
        <is>
          <t>Surgery</t>
        </is>
      </c>
      <c r="H19" s="12" t="n">
        <v>8</v>
      </c>
      <c r="I19" s="3" t="inlineStr">
        <is>
          <t>Recovered</t>
        </is>
      </c>
      <c r="J19" s="11" t="inlineStr">
        <is>
          <t>No</t>
        </is>
      </c>
      <c r="K19" s="12" t="n">
        <v>8</v>
      </c>
      <c r="L19" s="3" t="inlineStr">
        <is>
          <t>Private</t>
        </is>
      </c>
      <c r="M19" s="11" t="inlineStr">
        <is>
          <t>No</t>
        </is>
      </c>
      <c r="N19" s="11">
        <f>IF(AND(B19&gt;65,H19&gt;7),"High Risk","Routine")</f>
        <v/>
      </c>
    </row>
    <row r="20">
      <c r="A20" s="8" t="inlineStr">
        <is>
          <t>P0019</t>
        </is>
      </c>
      <c r="B20" s="9" t="n">
        <v>31</v>
      </c>
      <c r="C20" s="10" t="inlineStr">
        <is>
          <t>Female</t>
        </is>
      </c>
      <c r="D20" s="10" t="inlineStr">
        <is>
          <t>Emergency</t>
        </is>
      </c>
      <c r="E20" s="8" t="inlineStr">
        <is>
          <t>2025-03-02</t>
        </is>
      </c>
      <c r="F20" s="10" t="inlineStr">
        <is>
          <t>Asthma</t>
        </is>
      </c>
      <c r="G20" s="10" t="inlineStr">
        <is>
          <t>Inhalers</t>
        </is>
      </c>
      <c r="H20" s="9" t="n">
        <v>3</v>
      </c>
      <c r="I20" s="10" t="inlineStr">
        <is>
          <t>Recovered</t>
        </is>
      </c>
      <c r="J20" s="8" t="inlineStr">
        <is>
          <t>No</t>
        </is>
      </c>
      <c r="K20" s="9" t="n">
        <v>9</v>
      </c>
      <c r="L20" s="10" t="inlineStr">
        <is>
          <t>Private</t>
        </is>
      </c>
      <c r="M20" s="8" t="inlineStr">
        <is>
          <t>No</t>
        </is>
      </c>
      <c r="N20" s="8">
        <f>IF(AND(B20&gt;65,H20&gt;7),"High Risk","Routine")</f>
        <v/>
      </c>
    </row>
    <row r="21">
      <c r="A21" s="11" t="inlineStr">
        <is>
          <t>P0020</t>
        </is>
      </c>
      <c r="B21" s="12" t="n">
        <v>70</v>
      </c>
      <c r="C21" s="3" t="inlineStr">
        <is>
          <t>Male</t>
        </is>
      </c>
      <c r="D21" s="3" t="inlineStr">
        <is>
          <t>Cardiology</t>
        </is>
      </c>
      <c r="E21" s="11" t="inlineStr">
        <is>
          <t>2025-03-05</t>
        </is>
      </c>
      <c r="F21" s="3" t="inlineStr">
        <is>
          <t>Arrhythmia</t>
        </is>
      </c>
      <c r="G21" s="3" t="inlineStr">
        <is>
          <t>Medication</t>
        </is>
      </c>
      <c r="H21" s="12" t="n">
        <v>6</v>
      </c>
      <c r="I21" s="3" t="inlineStr">
        <is>
          <t>Recovered</t>
        </is>
      </c>
      <c r="J21" s="11" t="inlineStr">
        <is>
          <t>No</t>
        </is>
      </c>
      <c r="K21" s="12" t="n">
        <v>8</v>
      </c>
      <c r="L21" s="3" t="inlineStr">
        <is>
          <t>Private</t>
        </is>
      </c>
      <c r="M21" s="11" t="inlineStr">
        <is>
          <t>No</t>
        </is>
      </c>
      <c r="N21" s="11">
        <f>IF(AND(B21&gt;65,H21&gt;7),"High Risk","Routine")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2026-07-17T12:40:41Z</dcterms:created>
  <dcterms:modified xmlns:dcterms="http://purl.org/dc/terms/" xmlns:xsi="http://www.w3.org/2001/XMLSchema-instance" xsi:type="dcterms:W3CDTF">2026-07-17T12:40:41Z</dcterms:modified>
</cp:coreProperties>
</file>